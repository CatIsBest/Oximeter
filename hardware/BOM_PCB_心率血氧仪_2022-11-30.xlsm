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earning\Oximeter\Oximeter\hardware\"/>
    </mc:Choice>
  </mc:AlternateContent>
  <xr:revisionPtr revIDLastSave="0" documentId="13_ncr:40009_{0413C06A-665D-499F-B0E9-DD29DD78FAB8}" xr6:coauthVersionLast="47" xr6:coauthVersionMax="47" xr10:uidLastSave="{00000000-0000-0000-0000-000000000000}"/>
  <bookViews>
    <workbookView xWindow="-108" yWindow="-108" windowWidth="23256" windowHeight="12576"/>
  </bookViews>
  <sheets>
    <sheet name="BOM_PCB_心率血氧仪_2022-11-30" sheetId="1" r:id="rId1"/>
  </sheets>
  <calcPr calcId="0"/>
</workbook>
</file>

<file path=xl/calcChain.xml><?xml version="1.0" encoding="utf-8"?>
<calcChain xmlns="http://schemas.openxmlformats.org/spreadsheetml/2006/main">
  <c r="K17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2" i="1"/>
</calcChain>
</file>

<file path=xl/sharedStrings.xml><?xml version="1.0" encoding="utf-8"?>
<sst xmlns="http://schemas.openxmlformats.org/spreadsheetml/2006/main" count="106" uniqueCount="83">
  <si>
    <t>ID</t>
  </si>
  <si>
    <t>Name</t>
  </si>
  <si>
    <t>Designator</t>
  </si>
  <si>
    <t>Footprint</t>
  </si>
  <si>
    <t>Quantity</t>
  </si>
  <si>
    <t>Manufacturer Part</t>
  </si>
  <si>
    <t>Manufacturer</t>
  </si>
  <si>
    <t>Supplier</t>
  </si>
  <si>
    <t>Supplier Part</t>
  </si>
  <si>
    <t>Price</t>
  </si>
  <si>
    <t>Header-Female-2.54_1x6</t>
  </si>
  <si>
    <t>P1</t>
  </si>
  <si>
    <t>HDR-TH_6P-P2.54-V-F</t>
  </si>
  <si>
    <t>Female header 1*6p</t>
  </si>
  <si>
    <t>BOOMELE</t>
  </si>
  <si>
    <t>LCSC</t>
  </si>
  <si>
    <t>C40877</t>
  </si>
  <si>
    <t>10uF</t>
  </si>
  <si>
    <t>PC1,PC2,UC3</t>
  </si>
  <si>
    <t>C0603</t>
  </si>
  <si>
    <t>CL10A106MP8NNNC</t>
  </si>
  <si>
    <t>SAMSUNG</t>
  </si>
  <si>
    <t>C85713</t>
  </si>
  <si>
    <t>22pF</t>
  </si>
  <si>
    <t>UC1,UC2</t>
  </si>
  <si>
    <t>CC0603JRNPO9BN220</t>
  </si>
  <si>
    <t>YAGEO</t>
  </si>
  <si>
    <t>C105620</t>
  </si>
  <si>
    <t>1uF</t>
  </si>
  <si>
    <t>UC4</t>
  </si>
  <si>
    <t>CL10A105KO8NNNC</t>
  </si>
  <si>
    <t>C1592</t>
  </si>
  <si>
    <t>10nF</t>
  </si>
  <si>
    <t>UC5</t>
  </si>
  <si>
    <t>CL10B103KB8NNNC</t>
  </si>
  <si>
    <t>C1589</t>
  </si>
  <si>
    <t>100nF</t>
  </si>
  <si>
    <t>UC6,UC7,UC8,UC9</t>
  </si>
  <si>
    <t>CC0603KRX7R9BB104</t>
  </si>
  <si>
    <t>C14663</t>
  </si>
  <si>
    <t>AMS1117-3.3_C347222</t>
  </si>
  <si>
    <t>PU1</t>
  </si>
  <si>
    <t>SOT-223_L6.7-W3.5-P2.30-BR</t>
  </si>
  <si>
    <t>AMS1117-3.3</t>
  </si>
  <si>
    <t>Youtai Semiconductor Co., Ltd.</t>
  </si>
  <si>
    <t>C347222</t>
  </si>
  <si>
    <t>Header-Male-2.54_1x4</t>
  </si>
  <si>
    <t>UH1</t>
  </si>
  <si>
    <t>HDR-TH_4P-P2.54-V</t>
  </si>
  <si>
    <t>210S-1*4P L=11.6MMGold-plated black</t>
  </si>
  <si>
    <t>Ckmtw</t>
  </si>
  <si>
    <t>C124378</t>
  </si>
  <si>
    <t>4.7K</t>
  </si>
  <si>
    <t>UR1</t>
  </si>
  <si>
    <t>R0603</t>
  </si>
  <si>
    <t>RS-03K4701FT</t>
  </si>
  <si>
    <t>FH</t>
  </si>
  <si>
    <t>C116693</t>
  </si>
  <si>
    <t>10K</t>
  </si>
  <si>
    <t>UR2</t>
  </si>
  <si>
    <t>RC0603JR-0710KL</t>
  </si>
  <si>
    <t>C99198</t>
  </si>
  <si>
    <t>MICROXNJ</t>
  </si>
  <si>
    <t>USB1</t>
  </si>
  <si>
    <t>MICRO-USB-SMD_MICROXNJ</t>
  </si>
  <si>
    <t>MicroXNJ</t>
  </si>
  <si>
    <t>SHOU HAN(首韩)</t>
  </si>
  <si>
    <t>C404969</t>
  </si>
  <si>
    <t>HC32F460JETA-LQFP48</t>
  </si>
  <si>
    <t>UU1</t>
  </si>
  <si>
    <t>LQFP-48_L7.0-W7.0-P0.50-LS9.0-BL</t>
  </si>
  <si>
    <t>HDSC</t>
  </si>
  <si>
    <t>C784658</t>
  </si>
  <si>
    <t>8MHz</t>
  </si>
  <si>
    <t>UX1</t>
  </si>
  <si>
    <t>OSC-SMD_4P-L3.2-W2.5-BL</t>
  </si>
  <si>
    <t>TAXM8M4RDBCCT2T</t>
  </si>
  <si>
    <t>Zhejiang Abel Elec</t>
  </si>
  <si>
    <t>C400090</t>
  </si>
  <si>
    <t>MAX30102模块</t>
  </si>
  <si>
    <t>U1</t>
  </si>
  <si>
    <t>SPI-OLED</t>
    <phoneticPr fontId="18" type="noConversion"/>
  </si>
  <si>
    <t>OLED屏幕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</si>
</sst>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6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tabSelected="1" workbookViewId="0">
      <selection activeCell="I21" sqref="I21"/>
    </sheetView>
  </sheetViews>
  <sheetFormatPr defaultRowHeight="13.8" x14ac:dyDescent="0.25"/>
  <cols>
    <col min="1" max="1" width="3.5546875" bestFit="1" customWidth="1"/>
    <col min="2" max="2" width="24.109375" bestFit="1" customWidth="1"/>
    <col min="3" max="3" width="17.77734375" bestFit="1" customWidth="1"/>
    <col min="4" max="4" width="34.44140625" bestFit="1" customWidth="1"/>
    <col min="5" max="5" width="9" bestFit="1" customWidth="1"/>
    <col min="6" max="6" width="37.88671875" bestFit="1" customWidth="1"/>
    <col min="7" max="7" width="29.44140625" bestFit="1" customWidth="1"/>
    <col min="8" max="8" width="8.44140625" bestFit="1" customWidth="1"/>
    <col min="9" max="9" width="12.6640625" bestFit="1" customWidth="1"/>
    <col min="10" max="10" width="7.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25">
      <c r="A2">
        <v>1</v>
      </c>
      <c r="B2" t="s">
        <v>10</v>
      </c>
      <c r="C2" t="s">
        <v>11</v>
      </c>
      <c r="D2" t="s">
        <v>12</v>
      </c>
      <c r="E2">
        <v>1</v>
      </c>
      <c r="F2" t="s">
        <v>13</v>
      </c>
      <c r="G2" t="s">
        <v>14</v>
      </c>
      <c r="H2" t="s">
        <v>15</v>
      </c>
      <c r="I2" t="s">
        <v>16</v>
      </c>
      <c r="J2">
        <v>0.43809999999999999</v>
      </c>
      <c r="K2">
        <f>J2*E2</f>
        <v>0.43809999999999999</v>
      </c>
    </row>
    <row r="3" spans="1:11" x14ac:dyDescent="0.25">
      <c r="A3">
        <v>2</v>
      </c>
      <c r="B3" t="s">
        <v>17</v>
      </c>
      <c r="C3" t="s">
        <v>18</v>
      </c>
      <c r="D3" t="s">
        <v>19</v>
      </c>
      <c r="E3">
        <v>3</v>
      </c>
      <c r="F3" t="s">
        <v>20</v>
      </c>
      <c r="G3" t="s">
        <v>21</v>
      </c>
      <c r="H3" t="s">
        <v>15</v>
      </c>
      <c r="I3" t="s">
        <v>22</v>
      </c>
      <c r="J3">
        <v>3.5000000000000003E-2</v>
      </c>
      <c r="K3">
        <f t="shared" ref="K3:K16" si="0">J3*E3</f>
        <v>0.10500000000000001</v>
      </c>
    </row>
    <row r="4" spans="1:11" x14ac:dyDescent="0.25">
      <c r="A4">
        <v>3</v>
      </c>
      <c r="B4" t="s">
        <v>23</v>
      </c>
      <c r="C4" t="s">
        <v>24</v>
      </c>
      <c r="D4" t="s">
        <v>19</v>
      </c>
      <c r="E4">
        <v>2</v>
      </c>
      <c r="F4" t="s">
        <v>25</v>
      </c>
      <c r="G4" t="s">
        <v>26</v>
      </c>
      <c r="H4" t="s">
        <v>15</v>
      </c>
      <c r="I4" t="s">
        <v>27</v>
      </c>
      <c r="J4">
        <v>1.3599999999999999E-2</v>
      </c>
      <c r="K4">
        <f t="shared" si="0"/>
        <v>2.7199999999999998E-2</v>
      </c>
    </row>
    <row r="5" spans="1:11" x14ac:dyDescent="0.25">
      <c r="A5">
        <v>4</v>
      </c>
      <c r="B5" t="s">
        <v>28</v>
      </c>
      <c r="C5" t="s">
        <v>29</v>
      </c>
      <c r="D5" t="s">
        <v>19</v>
      </c>
      <c r="E5">
        <v>1</v>
      </c>
      <c r="F5" t="s">
        <v>30</v>
      </c>
      <c r="G5" t="s">
        <v>21</v>
      </c>
      <c r="H5" t="s">
        <v>15</v>
      </c>
      <c r="I5" t="s">
        <v>31</v>
      </c>
      <c r="J5">
        <v>2.0799999999999999E-2</v>
      </c>
      <c r="K5">
        <f t="shared" si="0"/>
        <v>2.0799999999999999E-2</v>
      </c>
    </row>
    <row r="6" spans="1:11" x14ac:dyDescent="0.25">
      <c r="A6">
        <v>5</v>
      </c>
      <c r="B6" t="s">
        <v>32</v>
      </c>
      <c r="C6" t="s">
        <v>33</v>
      </c>
      <c r="D6" t="s">
        <v>19</v>
      </c>
      <c r="E6">
        <v>1</v>
      </c>
      <c r="F6" t="s">
        <v>34</v>
      </c>
      <c r="G6" t="s">
        <v>21</v>
      </c>
      <c r="H6" t="s">
        <v>15</v>
      </c>
      <c r="I6" t="s">
        <v>35</v>
      </c>
      <c r="J6">
        <v>9.1000000000000004E-3</v>
      </c>
      <c r="K6">
        <f t="shared" si="0"/>
        <v>9.1000000000000004E-3</v>
      </c>
    </row>
    <row r="7" spans="1:11" x14ac:dyDescent="0.25">
      <c r="A7">
        <v>6</v>
      </c>
      <c r="B7" t="s">
        <v>36</v>
      </c>
      <c r="C7" t="s">
        <v>37</v>
      </c>
      <c r="D7" t="s">
        <v>19</v>
      </c>
      <c r="E7">
        <v>4</v>
      </c>
      <c r="F7" t="s">
        <v>38</v>
      </c>
      <c r="G7" t="s">
        <v>26</v>
      </c>
      <c r="H7" t="s">
        <v>15</v>
      </c>
      <c r="I7" t="s">
        <v>39</v>
      </c>
      <c r="J7">
        <v>1.32E-2</v>
      </c>
      <c r="K7">
        <f t="shared" si="0"/>
        <v>5.28E-2</v>
      </c>
    </row>
    <row r="8" spans="1:11" x14ac:dyDescent="0.25">
      <c r="A8">
        <v>7</v>
      </c>
      <c r="B8" t="s">
        <v>40</v>
      </c>
      <c r="C8" t="s">
        <v>41</v>
      </c>
      <c r="D8" t="s">
        <v>42</v>
      </c>
      <c r="E8">
        <v>1</v>
      </c>
      <c r="F8" t="s">
        <v>43</v>
      </c>
      <c r="G8" t="s">
        <v>44</v>
      </c>
      <c r="H8" t="s">
        <v>15</v>
      </c>
      <c r="I8" t="s">
        <v>45</v>
      </c>
      <c r="J8">
        <v>0.30680000000000002</v>
      </c>
      <c r="K8">
        <f t="shared" si="0"/>
        <v>0.30680000000000002</v>
      </c>
    </row>
    <row r="9" spans="1:11" x14ac:dyDescent="0.25">
      <c r="A9">
        <v>8</v>
      </c>
      <c r="B9" t="s">
        <v>46</v>
      </c>
      <c r="C9" t="s">
        <v>47</v>
      </c>
      <c r="D9" t="s">
        <v>48</v>
      </c>
      <c r="E9">
        <v>1</v>
      </c>
      <c r="F9" t="s">
        <v>49</v>
      </c>
      <c r="G9" t="s">
        <v>50</v>
      </c>
      <c r="H9" t="s">
        <v>15</v>
      </c>
      <c r="I9" t="s">
        <v>51</v>
      </c>
      <c r="J9">
        <v>0.25600000000000001</v>
      </c>
      <c r="K9">
        <f t="shared" si="0"/>
        <v>0.25600000000000001</v>
      </c>
    </row>
    <row r="10" spans="1:11" x14ac:dyDescent="0.25">
      <c r="A10">
        <v>9</v>
      </c>
      <c r="B10" t="s">
        <v>52</v>
      </c>
      <c r="C10" t="s">
        <v>53</v>
      </c>
      <c r="D10" t="s">
        <v>54</v>
      </c>
      <c r="E10">
        <v>1</v>
      </c>
      <c r="F10" t="s">
        <v>55</v>
      </c>
      <c r="G10" t="s">
        <v>56</v>
      </c>
      <c r="H10" t="s">
        <v>15</v>
      </c>
      <c r="I10" t="s">
        <v>57</v>
      </c>
      <c r="J10">
        <v>4.8999999999999998E-3</v>
      </c>
      <c r="K10">
        <f t="shared" si="0"/>
        <v>4.8999999999999998E-3</v>
      </c>
    </row>
    <row r="11" spans="1:11" x14ac:dyDescent="0.25">
      <c r="A11">
        <v>10</v>
      </c>
      <c r="B11" t="s">
        <v>58</v>
      </c>
      <c r="C11" t="s">
        <v>59</v>
      </c>
      <c r="D11" t="s">
        <v>54</v>
      </c>
      <c r="E11">
        <v>1</v>
      </c>
      <c r="F11" t="s">
        <v>60</v>
      </c>
      <c r="G11" t="s">
        <v>26</v>
      </c>
      <c r="H11" t="s">
        <v>15</v>
      </c>
      <c r="I11" t="s">
        <v>61</v>
      </c>
      <c r="J11">
        <v>5.5999999999999999E-3</v>
      </c>
      <c r="K11">
        <f t="shared" si="0"/>
        <v>5.5999999999999999E-3</v>
      </c>
    </row>
    <row r="12" spans="1:11" x14ac:dyDescent="0.25">
      <c r="A12">
        <v>11</v>
      </c>
      <c r="B12" t="s">
        <v>62</v>
      </c>
      <c r="C12" t="s">
        <v>63</v>
      </c>
      <c r="D12" t="s">
        <v>64</v>
      </c>
      <c r="E12">
        <v>1</v>
      </c>
      <c r="F12" t="s">
        <v>65</v>
      </c>
      <c r="G12" t="s">
        <v>66</v>
      </c>
      <c r="H12" t="s">
        <v>15</v>
      </c>
      <c r="I12" t="s">
        <v>67</v>
      </c>
      <c r="J12">
        <v>0.215</v>
      </c>
      <c r="K12">
        <f t="shared" si="0"/>
        <v>0.215</v>
      </c>
    </row>
    <row r="13" spans="1:11" x14ac:dyDescent="0.25">
      <c r="A13">
        <v>12</v>
      </c>
      <c r="B13" t="s">
        <v>68</v>
      </c>
      <c r="C13" t="s">
        <v>69</v>
      </c>
      <c r="D13" t="s">
        <v>70</v>
      </c>
      <c r="E13">
        <v>1</v>
      </c>
      <c r="F13" t="s">
        <v>68</v>
      </c>
      <c r="G13" t="s">
        <v>71</v>
      </c>
      <c r="H13" t="s">
        <v>15</v>
      </c>
      <c r="I13" t="s">
        <v>72</v>
      </c>
      <c r="J13">
        <v>10.119999999999999</v>
      </c>
      <c r="K13">
        <f t="shared" si="0"/>
        <v>10.119999999999999</v>
      </c>
    </row>
    <row r="14" spans="1:11" x14ac:dyDescent="0.25">
      <c r="A14">
        <v>13</v>
      </c>
      <c r="B14" t="s">
        <v>73</v>
      </c>
      <c r="C14" t="s">
        <v>74</v>
      </c>
      <c r="D14" t="s">
        <v>75</v>
      </c>
      <c r="E14">
        <v>1</v>
      </c>
      <c r="F14" t="s">
        <v>76</v>
      </c>
      <c r="G14" t="s">
        <v>77</v>
      </c>
      <c r="H14" t="s">
        <v>15</v>
      </c>
      <c r="I14" t="s">
        <v>78</v>
      </c>
      <c r="J14">
        <v>0.9879</v>
      </c>
      <c r="K14">
        <f t="shared" si="0"/>
        <v>0.9879</v>
      </c>
    </row>
    <row r="15" spans="1:11" x14ac:dyDescent="0.25">
      <c r="A15">
        <v>14</v>
      </c>
      <c r="B15" t="s">
        <v>79</v>
      </c>
      <c r="C15" t="s">
        <v>80</v>
      </c>
      <c r="D15" t="s">
        <v>79</v>
      </c>
      <c r="E15">
        <v>1</v>
      </c>
      <c r="J15">
        <v>4.6500000000000004</v>
      </c>
      <c r="K15">
        <f t="shared" si="0"/>
        <v>4.6500000000000004</v>
      </c>
    </row>
    <row r="16" spans="1:11" x14ac:dyDescent="0.25">
      <c r="A16">
        <v>15</v>
      </c>
      <c r="B16" t="s">
        <v>81</v>
      </c>
      <c r="D16" t="s">
        <v>82</v>
      </c>
      <c r="E16">
        <v>1</v>
      </c>
      <c r="J16">
        <v>10.7</v>
      </c>
      <c r="K16">
        <f t="shared" si="0"/>
        <v>10.7</v>
      </c>
    </row>
    <row r="17" spans="11:11" x14ac:dyDescent="0.25">
      <c r="K17" s="1">
        <f>SUM(K2:K16)</f>
        <v>27.899199999999997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BOM_PCB_心率血氧仪_2022-11-30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阪本先生</dc:creator>
  <cp:lastModifiedBy>阪本先生</cp:lastModifiedBy>
  <dcterms:created xsi:type="dcterms:W3CDTF">2022-11-30T06:52:08Z</dcterms:created>
  <dcterms:modified xsi:type="dcterms:W3CDTF">2022-11-30T06:54:25Z</dcterms:modified>
</cp:coreProperties>
</file>